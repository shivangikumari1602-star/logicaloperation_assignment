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77add81c4c4f9a66/Documents/"/>
    </mc:Choice>
  </mc:AlternateContent>
  <xr:revisionPtr revIDLastSave="273" documentId="8_{51412B51-BA77-4FED-B6DA-6F1B3DCD342B}" xr6:coauthVersionLast="47" xr6:coauthVersionMax="47" xr10:uidLastSave="{3932A05A-8B52-45AC-BC41-882B25A6A265}"/>
  <bookViews>
    <workbookView xWindow="-108" yWindow="-108" windowWidth="23256" windowHeight="12456" xr2:uid="{9085D4B4-BAFD-4E3A-940D-E270389E398D}"/>
  </bookViews>
  <sheets>
    <sheet name="ASSIGNMEN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6" i="1" l="1"/>
  <c r="C58" i="1"/>
  <c r="D49" i="1"/>
  <c r="D50" i="1"/>
  <c r="D48" i="1"/>
  <c r="D39" i="1"/>
  <c r="E30" i="1"/>
  <c r="C21" i="1"/>
  <c r="C22" i="1"/>
  <c r="C23" i="1"/>
  <c r="C24" i="1"/>
  <c r="C20" i="1"/>
  <c r="D13" i="1"/>
  <c r="D14" i="1"/>
  <c r="D15" i="1"/>
  <c r="D12" i="1"/>
  <c r="C4" i="1"/>
  <c r="C5" i="1"/>
  <c r="C6" i="1"/>
  <c r="C7" i="1"/>
  <c r="C3" i="1"/>
</calcChain>
</file>

<file path=xl/sharedStrings.xml><?xml version="1.0" encoding="utf-8"?>
<sst xmlns="http://schemas.openxmlformats.org/spreadsheetml/2006/main" count="95" uniqueCount="77">
  <si>
    <t>Marks</t>
  </si>
  <si>
    <t>Student name</t>
  </si>
  <si>
    <t>Riya</t>
  </si>
  <si>
    <t>Siya</t>
  </si>
  <si>
    <t>Raju</t>
  </si>
  <si>
    <t>Rahul</t>
  </si>
  <si>
    <t>Ram</t>
  </si>
  <si>
    <t>Result</t>
  </si>
  <si>
    <t>ANSWER=IF(b3&gt;=40,"PASS,"Fail")</t>
  </si>
  <si>
    <t>Employee</t>
  </si>
  <si>
    <t>Sales</t>
  </si>
  <si>
    <t>Attendance</t>
  </si>
  <si>
    <t>Arjun</t>
  </si>
  <si>
    <t>Simran</t>
  </si>
  <si>
    <t>Rohit</t>
  </si>
  <si>
    <t>Anjali</t>
  </si>
  <si>
    <t>Bonus</t>
  </si>
  <si>
    <t>Q.2. A company gives a bonus  if sales are above 40,000 and attendance is greater than or equal to 90%. Write a formula to calculate whether the employee will get a bonus or not .</t>
  </si>
  <si>
    <t>Q.1. Write a formula to check if the marks in cell B2 are greater than or equal to 40 . If yes, return "Pass",otherwise "Fail".</t>
  </si>
  <si>
    <t>Student Names</t>
  </si>
  <si>
    <t>marks</t>
  </si>
  <si>
    <t xml:space="preserve">Raj </t>
  </si>
  <si>
    <t>Neha</t>
  </si>
  <si>
    <t>Vivek</t>
  </si>
  <si>
    <t>Rani</t>
  </si>
  <si>
    <t>Sneha</t>
  </si>
  <si>
    <t>Q.3. Write a nested IF formula:_x000B_ If marks in B2 are ≥ 90 →"A" , ≥ 75 →"B", ≥ 50 →"C", otherwise,"Fail".</t>
  </si>
  <si>
    <t>Nested IF</t>
  </si>
  <si>
    <t>Q.4. Find the department of employee ID = E103. Also explain which LOOKUP function is used and why?</t>
  </si>
  <si>
    <t>EmpID</t>
  </si>
  <si>
    <t>E101</t>
  </si>
  <si>
    <t>E102</t>
  </si>
  <si>
    <t>E103</t>
  </si>
  <si>
    <t>E104</t>
  </si>
  <si>
    <t>Name</t>
  </si>
  <si>
    <t>Roshni</t>
  </si>
  <si>
    <t>Sejal</t>
  </si>
  <si>
    <t>Department</t>
  </si>
  <si>
    <t>IT</t>
  </si>
  <si>
    <t>HR</t>
  </si>
  <si>
    <t>finance</t>
  </si>
  <si>
    <t>LOOKUP VALUE</t>
  </si>
  <si>
    <t>ANSWER-Here I have used the formula =XLOOKUP(D30,A29:A33,C29:C33,"Unavailable",,1) .i have used XLOOKUP instead of  VLOOKUP or HLOOKUP because in VLOOKUP,it works from top to bottom and in HLOOKUP, it works from left to right but in case of XLOOKUP, it works top to bottom as well as left to right and vice versa and it handles exact matches by default.That`s why here XLOOKUP should be used.</t>
  </si>
  <si>
    <t>Q.5. A company has set the following commission structure for its sales team:</t>
  </si>
  <si>
    <t>Sales Amount</t>
  </si>
  <si>
    <t>Commission Rate</t>
  </si>
  <si>
    <t>If a salesperson achieves sales of ₹45,000, use the VLOOKUP function to determine the commission rate applicable.</t>
  </si>
  <si>
    <t>Commission rate</t>
  </si>
  <si>
    <t>₹45,000</t>
  </si>
  <si>
    <t xml:space="preserve">Q.6. The HR department maintains the following leave records of employees bonus or not </t>
  </si>
  <si>
    <t>Employee name</t>
  </si>
  <si>
    <t>Leaves taken</t>
  </si>
  <si>
    <t>Leaves allowed</t>
  </si>
  <si>
    <t>Alex</t>
  </si>
  <si>
    <t>Bob</t>
  </si>
  <si>
    <t>Anna</t>
  </si>
  <si>
    <t>Write an IF function to check whether an employee has exceeded their allowed leave balance.</t>
  </si>
  <si>
    <t>*If leaves taken &gt; Allowed leaves, display"Exceeded"</t>
  </si>
  <si>
    <t xml:space="preserve">                                 *Otherwise display "OK"</t>
  </si>
  <si>
    <t>IF function</t>
  </si>
  <si>
    <t>Q.7. Find the salary of EmpID=E105 using INDEX-MATCH function.</t>
  </si>
  <si>
    <t>Salary</t>
  </si>
  <si>
    <t>E105</t>
  </si>
  <si>
    <t>E106</t>
  </si>
  <si>
    <t>Q.8. Use the xlookup function to find the department of the emploee with Emp ID=E303.</t>
  </si>
  <si>
    <t>sales</t>
  </si>
  <si>
    <t>E303</t>
  </si>
  <si>
    <t>E301</t>
  </si>
  <si>
    <t>Finance</t>
  </si>
  <si>
    <t>ANSWER=iIF(AND(B12&gt;40000,C12&gt;=90%),"GET BONUS","NO")</t>
  </si>
  <si>
    <t>ANSWER=IF(B20&gt;=90,"A",IF(B20&gt;=75,"B",IF(B20&gt;=50&lt;"C")))</t>
  </si>
  <si>
    <t>ANSWER=IFERROR(VLOOKUP(C39,A38:B42,2,FALSE),"UNAVAILABLE")</t>
  </si>
  <si>
    <t>Here, I have used IFERROR function in formula because error is not looks so good .So,In the place of error it is showing "UNAVAILABE"</t>
  </si>
  <si>
    <t>ANSWER=IF(B48&gt;C48,"EXCEEDED","OK")</t>
  </si>
  <si>
    <t>INDEX-MATCH</t>
  </si>
  <si>
    <t>ANSWER=INDEX(B58:B61,MATCH("E105",A58:A61,0))</t>
  </si>
  <si>
    <t>ANSWER=XLOOKUP(C66,A66;A69,B66:B69,"UNAVAILABLE",,1)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</si>
</sst>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0" fillId="0" borderId="1" xfId="0" applyBorder="1"/>
    <xf numFmtId="0" fontId="1" fillId="0" borderId="1" xfId="0" applyFont="1" applyBorder="1"/>
    <xf numFmtId="0" fontId="0" fillId="0" borderId="0" xfId="0" applyAlignment="1">
      <alignment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0" xfId="0" applyAlignment="1">
      <alignment horizontal="center"/>
    </xf>
    <xf numFmtId="0" fontId="0" fillId="0" borderId="0" xfId="0" applyAlignment="1">
      <alignment horizontal="center" wrapText="1"/>
    </xf>
    <xf numFmtId="0" fontId="0" fillId="0" borderId="2" xfId="0" applyBorder="1"/>
    <xf numFmtId="0" fontId="0" fillId="0" borderId="0" xfId="0"/>
    <xf numFmtId="0" fontId="0" fillId="0" borderId="2" xfId="0" applyBorder="1" applyAlignment="1">
      <alignment horizontal="center"/>
    </xf>
    <xf numFmtId="0" fontId="1" fillId="0" borderId="2" xfId="0" applyFont="1" applyFill="1" applyBorder="1" applyAlignment="1">
      <alignment horizontal="center"/>
    </xf>
    <xf numFmtId="0" fontId="1" fillId="0" borderId="0" xfId="0" applyFont="1" applyFill="1" applyBorder="1" applyAlignment="1">
      <alignment horizontal="center"/>
    </xf>
    <xf numFmtId="0" fontId="0" fillId="0" borderId="2" xfId="0" applyFill="1" applyBorder="1" applyAlignment="1"/>
    <xf numFmtId="0" fontId="0" fillId="0" borderId="0" xfId="0" applyFill="1" applyBorder="1" applyAlignment="1"/>
    <xf numFmtId="0" fontId="1" fillId="0" borderId="0" xfId="0" applyFont="1" applyAlignment="1">
      <alignment horizontal="center"/>
    </xf>
    <xf numFmtId="0" fontId="0" fillId="0" borderId="0" xfId="0" applyFont="1" applyAlignment="1"/>
    <xf numFmtId="0" fontId="1" fillId="0" borderId="0" xfId="0" applyFont="1"/>
    <xf numFmtId="0" fontId="1" fillId="2" borderId="1" xfId="0" applyFont="1" applyFill="1" applyBorder="1"/>
    <xf numFmtId="0" fontId="0" fillId="2" borderId="1" xfId="0" applyFill="1" applyBorder="1"/>
    <xf numFmtId="9" fontId="0" fillId="2" borderId="1" xfId="0" applyNumberFormat="1" applyFill="1" applyBorder="1"/>
    <xf numFmtId="0" fontId="0" fillId="2" borderId="3" xfId="0" applyFill="1" applyBorder="1"/>
    <xf numFmtId="9" fontId="0" fillId="2" borderId="3"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5661-9609-4000-AE0C-4B85F3259656}">
  <sheetPr>
    <tabColor rgb="FFFFC000"/>
  </sheetPr>
  <dimension ref="A1:R69"/>
  <sheetViews>
    <sheetView tabSelected="1" workbookViewId="0">
      <selection activeCell="G4" sqref="G4"/>
    </sheetView>
  </sheetViews>
  <sheetFormatPr defaultRowHeight="14.4" x14ac:dyDescent="0.3"/>
  <cols>
    <col min="1" max="1" width="18.21875" customWidth="1"/>
    <col min="2" max="2" width="15.6640625" customWidth="1"/>
    <col min="3" max="3" width="13.6640625" customWidth="1"/>
    <col min="4" max="4" width="15.5546875" customWidth="1"/>
    <col min="5" max="5" width="11.33203125" customWidth="1"/>
    <col min="9" max="9" width="10.77734375" customWidth="1"/>
    <col min="10" max="10" width="13.33203125" customWidth="1"/>
    <col min="13" max="13" width="10.6640625" customWidth="1"/>
  </cols>
  <sheetData>
    <row r="1" spans="1:13" x14ac:dyDescent="0.3">
      <c r="A1" s="17" t="s">
        <v>18</v>
      </c>
      <c r="B1" s="17"/>
      <c r="C1" s="17"/>
      <c r="D1" s="17"/>
      <c r="E1" s="17"/>
      <c r="F1" s="17"/>
      <c r="G1" s="17"/>
      <c r="H1" s="17"/>
      <c r="I1" s="17"/>
      <c r="J1" s="17"/>
    </row>
    <row r="2" spans="1:13" x14ac:dyDescent="0.3">
      <c r="A2" s="20" t="s">
        <v>1</v>
      </c>
      <c r="B2" s="20" t="s">
        <v>0</v>
      </c>
      <c r="C2" s="2" t="s">
        <v>7</v>
      </c>
    </row>
    <row r="3" spans="1:13" x14ac:dyDescent="0.3">
      <c r="A3" s="21" t="s">
        <v>2</v>
      </c>
      <c r="B3" s="21">
        <v>45</v>
      </c>
      <c r="C3" s="1" t="str">
        <f>IF(B3&gt;=40,"Pass","Fail")</f>
        <v>Pass</v>
      </c>
      <c r="D3" s="10" t="s">
        <v>8</v>
      </c>
      <c r="E3" s="11"/>
      <c r="F3" s="11"/>
      <c r="G3" s="11"/>
    </row>
    <row r="4" spans="1:13" x14ac:dyDescent="0.3">
      <c r="A4" s="21" t="s">
        <v>3</v>
      </c>
      <c r="B4" s="21">
        <v>72</v>
      </c>
      <c r="C4" s="1" t="str">
        <f t="shared" ref="C4:C7" si="0">IF(B4&gt;=40,"Pass","Fail")</f>
        <v>Pass</v>
      </c>
    </row>
    <row r="5" spans="1:13" x14ac:dyDescent="0.3">
      <c r="A5" s="21" t="s">
        <v>4</v>
      </c>
      <c r="B5" s="21">
        <v>55</v>
      </c>
      <c r="C5" s="1" t="str">
        <f t="shared" si="0"/>
        <v>Pass</v>
      </c>
    </row>
    <row r="6" spans="1:13" x14ac:dyDescent="0.3">
      <c r="A6" s="21" t="s">
        <v>5</v>
      </c>
      <c r="B6" s="21">
        <v>80</v>
      </c>
      <c r="C6" s="1" t="str">
        <f t="shared" si="0"/>
        <v>Pass</v>
      </c>
    </row>
    <row r="7" spans="1:13" x14ac:dyDescent="0.3">
      <c r="A7" s="21" t="s">
        <v>6</v>
      </c>
      <c r="B7" s="21">
        <v>30</v>
      </c>
      <c r="C7" s="1" t="str">
        <f t="shared" si="0"/>
        <v>Fail</v>
      </c>
    </row>
    <row r="9" spans="1:13" x14ac:dyDescent="0.3">
      <c r="A9" s="19" t="s">
        <v>17</v>
      </c>
      <c r="B9" s="19"/>
      <c r="C9" s="19"/>
      <c r="D9" s="19"/>
      <c r="E9" s="19"/>
      <c r="F9" s="19"/>
      <c r="G9" s="19"/>
      <c r="H9" s="19"/>
      <c r="I9" s="19"/>
      <c r="J9" s="19"/>
      <c r="K9" s="19"/>
      <c r="L9" s="19"/>
      <c r="M9" s="19"/>
    </row>
    <row r="11" spans="1:13" x14ac:dyDescent="0.3">
      <c r="A11" s="20" t="s">
        <v>9</v>
      </c>
      <c r="B11" s="20" t="s">
        <v>10</v>
      </c>
      <c r="C11" s="20" t="s">
        <v>11</v>
      </c>
      <c r="D11" s="2" t="s">
        <v>16</v>
      </c>
    </row>
    <row r="12" spans="1:13" x14ac:dyDescent="0.3">
      <c r="A12" s="21" t="s">
        <v>12</v>
      </c>
      <c r="B12" s="21">
        <v>55000</v>
      </c>
      <c r="C12" s="21">
        <v>95</v>
      </c>
      <c r="D12" s="1" t="str">
        <f>IF(AND(B12&gt;40000,C12&gt;=90%),"GET BONUS","NO")</f>
        <v>GET BONUS</v>
      </c>
      <c r="E12" t="s">
        <v>69</v>
      </c>
    </row>
    <row r="13" spans="1:13" x14ac:dyDescent="0.3">
      <c r="A13" s="21" t="s">
        <v>13</v>
      </c>
      <c r="B13" s="21">
        <v>65000</v>
      </c>
      <c r="C13" s="21">
        <v>85</v>
      </c>
      <c r="D13" s="1" t="str">
        <f t="shared" ref="D13:D15" si="1">IF(AND(B13&gt;40000,C13&gt;=90%),"GET BONUS","NO")</f>
        <v>GET BONUS</v>
      </c>
    </row>
    <row r="14" spans="1:13" x14ac:dyDescent="0.3">
      <c r="A14" s="21" t="s">
        <v>14</v>
      </c>
      <c r="B14" s="21">
        <v>30000</v>
      </c>
      <c r="C14" s="21">
        <v>90</v>
      </c>
      <c r="D14" s="1" t="str">
        <f t="shared" si="1"/>
        <v>NO</v>
      </c>
    </row>
    <row r="15" spans="1:13" x14ac:dyDescent="0.3">
      <c r="A15" s="21" t="s">
        <v>15</v>
      </c>
      <c r="B15" s="21">
        <v>25000</v>
      </c>
      <c r="C15" s="21">
        <v>65</v>
      </c>
      <c r="D15" s="1" t="str">
        <f t="shared" si="1"/>
        <v>NO</v>
      </c>
    </row>
    <row r="17" spans="1:7" ht="15.6" customHeight="1" x14ac:dyDescent="0.3">
      <c r="A17" s="17" t="s">
        <v>26</v>
      </c>
      <c r="B17" s="17"/>
      <c r="C17" s="17"/>
      <c r="D17" s="17"/>
      <c r="E17" s="17"/>
      <c r="F17" s="17"/>
    </row>
    <row r="18" spans="1:7" x14ac:dyDescent="0.3">
      <c r="A18" s="8"/>
      <c r="B18" s="8"/>
      <c r="C18" s="8"/>
      <c r="D18" s="8"/>
      <c r="E18" s="8"/>
      <c r="F18" s="8"/>
      <c r="G18" s="8"/>
    </row>
    <row r="19" spans="1:7" x14ac:dyDescent="0.3">
      <c r="A19" s="20" t="s">
        <v>19</v>
      </c>
      <c r="B19" s="20" t="s">
        <v>20</v>
      </c>
      <c r="C19" s="2" t="s">
        <v>27</v>
      </c>
    </row>
    <row r="20" spans="1:7" x14ac:dyDescent="0.3">
      <c r="A20" s="21" t="s">
        <v>21</v>
      </c>
      <c r="B20" s="21">
        <v>85</v>
      </c>
      <c r="C20" s="1" t="str">
        <f>IF(B20&gt;=90,"A",IF(B20&gt;=75,"B",IF(B20&gt;=50,"C")))</f>
        <v>B</v>
      </c>
    </row>
    <row r="21" spans="1:7" x14ac:dyDescent="0.3">
      <c r="A21" s="21" t="s">
        <v>22</v>
      </c>
      <c r="B21" s="21">
        <v>96</v>
      </c>
      <c r="C21" s="1" t="str">
        <f t="shared" ref="C21:C24" si="2">IF(B21&gt;=90,"A",IF(B21&gt;=75,"B",IF(B21&gt;=50,"C")))</f>
        <v>A</v>
      </c>
      <c r="D21" t="s">
        <v>70</v>
      </c>
    </row>
    <row r="22" spans="1:7" x14ac:dyDescent="0.3">
      <c r="A22" s="21" t="s">
        <v>23</v>
      </c>
      <c r="B22" s="21">
        <v>57</v>
      </c>
      <c r="C22" s="1" t="str">
        <f t="shared" si="2"/>
        <v>C</v>
      </c>
    </row>
    <row r="23" spans="1:7" x14ac:dyDescent="0.3">
      <c r="A23" s="21" t="s">
        <v>24</v>
      </c>
      <c r="B23" s="21">
        <v>92</v>
      </c>
      <c r="C23" s="1" t="str">
        <f t="shared" si="2"/>
        <v>A</v>
      </c>
    </row>
    <row r="24" spans="1:7" x14ac:dyDescent="0.3">
      <c r="A24" s="21" t="s">
        <v>25</v>
      </c>
      <c r="B24" s="21">
        <v>75</v>
      </c>
      <c r="C24" s="1" t="str">
        <f t="shared" si="2"/>
        <v>B</v>
      </c>
    </row>
    <row r="27" spans="1:7" x14ac:dyDescent="0.3">
      <c r="A27" s="17" t="s">
        <v>28</v>
      </c>
      <c r="B27" s="17"/>
      <c r="C27" s="17"/>
      <c r="D27" s="17"/>
      <c r="E27" s="17"/>
      <c r="F27" s="17"/>
    </row>
    <row r="29" spans="1:7" x14ac:dyDescent="0.3">
      <c r="A29" s="20" t="s">
        <v>29</v>
      </c>
      <c r="B29" s="20" t="s">
        <v>34</v>
      </c>
      <c r="C29" s="20" t="s">
        <v>37</v>
      </c>
      <c r="D29" s="2" t="s">
        <v>41</v>
      </c>
      <c r="E29" s="2" t="s">
        <v>37</v>
      </c>
    </row>
    <row r="30" spans="1:7" x14ac:dyDescent="0.3">
      <c r="A30" s="21" t="s">
        <v>30</v>
      </c>
      <c r="B30" s="21" t="s">
        <v>4</v>
      </c>
      <c r="C30" s="21" t="s">
        <v>38</v>
      </c>
      <c r="D30" s="1" t="s">
        <v>32</v>
      </c>
      <c r="E30" s="1" t="str">
        <f>_xlfn.XLOOKUP(D30,A29:A33,C29:C33,"unavailable",,1)</f>
        <v>finance</v>
      </c>
    </row>
    <row r="31" spans="1:7" x14ac:dyDescent="0.3">
      <c r="A31" s="21" t="s">
        <v>31</v>
      </c>
      <c r="B31" s="21" t="s">
        <v>2</v>
      </c>
      <c r="C31" s="21" t="s">
        <v>39</v>
      </c>
      <c r="D31" s="1"/>
      <c r="E31" s="1"/>
    </row>
    <row r="32" spans="1:7" x14ac:dyDescent="0.3">
      <c r="A32" s="21" t="s">
        <v>32</v>
      </c>
      <c r="B32" s="21" t="s">
        <v>35</v>
      </c>
      <c r="C32" s="21" t="s">
        <v>40</v>
      </c>
      <c r="D32" s="1"/>
      <c r="E32" s="1"/>
    </row>
    <row r="33" spans="1:18" x14ac:dyDescent="0.3">
      <c r="A33" s="21" t="s">
        <v>33</v>
      </c>
      <c r="B33" s="21" t="s">
        <v>36</v>
      </c>
      <c r="C33" s="21" t="s">
        <v>10</v>
      </c>
      <c r="D33" s="1"/>
      <c r="E33" s="1"/>
    </row>
    <row r="34" spans="1:18" ht="91.8" customHeight="1" x14ac:dyDescent="0.3">
      <c r="A34" s="9" t="s">
        <v>42</v>
      </c>
      <c r="B34" s="9"/>
      <c r="C34" s="9"/>
      <c r="D34" s="9"/>
      <c r="E34" s="9"/>
      <c r="F34" s="3"/>
      <c r="G34" s="3"/>
      <c r="H34" s="3"/>
      <c r="I34" s="3"/>
      <c r="J34" s="3"/>
      <c r="K34" s="3"/>
      <c r="L34" s="3"/>
      <c r="M34" s="3"/>
      <c r="N34" s="3"/>
      <c r="O34" s="3"/>
      <c r="P34" s="3"/>
      <c r="Q34" s="3"/>
      <c r="R34" s="3"/>
    </row>
    <row r="35" spans="1:18" x14ac:dyDescent="0.3">
      <c r="A35" s="3"/>
      <c r="B35" s="3"/>
      <c r="C35" s="3"/>
      <c r="D35" s="3"/>
      <c r="E35" s="3"/>
      <c r="F35" s="3"/>
      <c r="G35" s="3"/>
      <c r="H35" s="3"/>
      <c r="I35" s="3"/>
      <c r="J35" s="3"/>
      <c r="K35" s="3"/>
      <c r="L35" s="3"/>
      <c r="M35" s="3"/>
      <c r="N35" s="3"/>
      <c r="O35" s="3"/>
      <c r="P35" s="3"/>
      <c r="Q35" s="3"/>
      <c r="R35" s="3"/>
    </row>
    <row r="36" spans="1:18" x14ac:dyDescent="0.3">
      <c r="A36" s="17" t="s">
        <v>43</v>
      </c>
      <c r="B36" s="17"/>
      <c r="C36" s="17"/>
      <c r="D36" s="17"/>
      <c r="E36" s="18"/>
    </row>
    <row r="38" spans="1:18" x14ac:dyDescent="0.3">
      <c r="A38" s="20" t="s">
        <v>44</v>
      </c>
      <c r="B38" s="20" t="s">
        <v>45</v>
      </c>
      <c r="C38" s="2" t="s">
        <v>41</v>
      </c>
      <c r="D38" s="2" t="s">
        <v>47</v>
      </c>
    </row>
    <row r="39" spans="1:18" x14ac:dyDescent="0.3">
      <c r="A39" s="21">
        <v>0</v>
      </c>
      <c r="B39" s="22">
        <v>0.05</v>
      </c>
      <c r="C39" s="1" t="s">
        <v>48</v>
      </c>
      <c r="D39" s="1" t="str">
        <f>IFERROR(VLOOKUP(C39,A38:B42,2,FALSE),"UNAVAILABLE")</f>
        <v>UNAVAILABLE</v>
      </c>
    </row>
    <row r="40" spans="1:18" x14ac:dyDescent="0.3">
      <c r="A40" s="21">
        <v>20000</v>
      </c>
      <c r="B40" s="22">
        <v>0.1</v>
      </c>
      <c r="C40" s="1"/>
      <c r="D40" s="1"/>
      <c r="E40" s="12" t="s">
        <v>71</v>
      </c>
      <c r="F40" s="8"/>
      <c r="G40" s="8"/>
      <c r="H40" s="8"/>
      <c r="I40" s="8"/>
      <c r="J40" s="8"/>
    </row>
    <row r="41" spans="1:18" x14ac:dyDescent="0.3">
      <c r="A41" s="21">
        <v>50000</v>
      </c>
      <c r="B41" s="22">
        <v>0.15</v>
      </c>
      <c r="C41" s="1"/>
      <c r="D41" s="1"/>
      <c r="E41" s="12" t="s">
        <v>72</v>
      </c>
      <c r="F41" s="8"/>
      <c r="G41" s="8"/>
      <c r="H41" s="8"/>
      <c r="I41" s="8"/>
      <c r="J41" s="8"/>
      <c r="K41" s="8"/>
      <c r="L41" s="8"/>
      <c r="M41" s="8"/>
      <c r="N41" s="8"/>
      <c r="O41" s="8"/>
    </row>
    <row r="42" spans="1:18" x14ac:dyDescent="0.3">
      <c r="A42" s="23">
        <v>80000</v>
      </c>
      <c r="B42" s="24">
        <v>0.2</v>
      </c>
      <c r="C42" s="4"/>
      <c r="D42" s="1"/>
    </row>
    <row r="43" spans="1:18" x14ac:dyDescent="0.3">
      <c r="A43" s="5" t="s">
        <v>46</v>
      </c>
      <c r="B43" s="6"/>
      <c r="C43" s="6"/>
      <c r="D43" s="6"/>
      <c r="E43" s="6"/>
      <c r="F43" s="6"/>
      <c r="G43" s="7"/>
    </row>
    <row r="45" spans="1:18" x14ac:dyDescent="0.3">
      <c r="A45" s="17" t="s">
        <v>49</v>
      </c>
      <c r="B45" s="17"/>
      <c r="C45" s="17"/>
      <c r="D45" s="17"/>
      <c r="E45" s="17"/>
      <c r="F45" s="17"/>
    </row>
    <row r="47" spans="1:18" x14ac:dyDescent="0.3">
      <c r="A47" s="20" t="s">
        <v>50</v>
      </c>
      <c r="B47" s="20" t="s">
        <v>51</v>
      </c>
      <c r="C47" s="20" t="s">
        <v>52</v>
      </c>
      <c r="D47" s="2" t="s">
        <v>59</v>
      </c>
    </row>
    <row r="48" spans="1:18" x14ac:dyDescent="0.3">
      <c r="A48" s="21" t="s">
        <v>53</v>
      </c>
      <c r="B48" s="21">
        <v>10</v>
      </c>
      <c r="C48" s="21">
        <v>12</v>
      </c>
      <c r="D48" s="1" t="str">
        <f>IF(B48&gt;C48,"Exceeded","Ok")</f>
        <v>Ok</v>
      </c>
      <c r="E48" s="13" t="s">
        <v>73</v>
      </c>
      <c r="F48" s="14"/>
      <c r="G48" s="14"/>
      <c r="H48" s="14"/>
    </row>
    <row r="49" spans="1:7" x14ac:dyDescent="0.3">
      <c r="A49" s="21" t="s">
        <v>54</v>
      </c>
      <c r="B49" s="21">
        <v>10</v>
      </c>
      <c r="C49" s="21">
        <v>15</v>
      </c>
      <c r="D49" s="1" t="str">
        <f t="shared" ref="D49:D50" si="3">IF(B49&gt;C49,"Exceeded","Ok")</f>
        <v>Ok</v>
      </c>
    </row>
    <row r="50" spans="1:7" x14ac:dyDescent="0.3">
      <c r="A50" s="21" t="s">
        <v>55</v>
      </c>
      <c r="B50" s="21">
        <v>8</v>
      </c>
      <c r="C50" s="21">
        <v>12</v>
      </c>
      <c r="D50" s="1" t="str">
        <f t="shared" si="3"/>
        <v>Ok</v>
      </c>
    </row>
    <row r="51" spans="1:7" x14ac:dyDescent="0.3">
      <c r="A51" t="s">
        <v>56</v>
      </c>
    </row>
    <row r="52" spans="1:7" ht="18" customHeight="1" x14ac:dyDescent="0.3">
      <c r="A52" s="9" t="s">
        <v>57</v>
      </c>
      <c r="B52" s="9"/>
      <c r="C52" s="9"/>
      <c r="D52" s="9"/>
    </row>
    <row r="53" spans="1:7" ht="16.8" customHeight="1" x14ac:dyDescent="0.3">
      <c r="A53" s="8" t="s">
        <v>58</v>
      </c>
      <c r="B53" s="8"/>
      <c r="C53" s="3"/>
    </row>
    <row r="54" spans="1:7" x14ac:dyDescent="0.3">
      <c r="A54" s="3"/>
    </row>
    <row r="55" spans="1:7" x14ac:dyDescent="0.3">
      <c r="A55" s="17" t="s">
        <v>60</v>
      </c>
      <c r="B55" s="17"/>
      <c r="C55" s="17"/>
      <c r="D55" s="17"/>
    </row>
    <row r="57" spans="1:7" x14ac:dyDescent="0.3">
      <c r="A57" s="20" t="s">
        <v>29</v>
      </c>
      <c r="B57" s="20" t="s">
        <v>61</v>
      </c>
      <c r="C57" s="2" t="s">
        <v>74</v>
      </c>
    </row>
    <row r="58" spans="1:7" x14ac:dyDescent="0.3">
      <c r="A58" s="21" t="s">
        <v>33</v>
      </c>
      <c r="B58" s="21">
        <v>55000</v>
      </c>
      <c r="C58" s="1">
        <f>INDEX(B58:B61,MATCH("E105",A58:A61,0))</f>
        <v>72000</v>
      </c>
      <c r="D58" s="12" t="s">
        <v>75</v>
      </c>
      <c r="E58" s="8"/>
      <c r="F58" s="8"/>
      <c r="G58" s="8"/>
    </row>
    <row r="59" spans="1:7" x14ac:dyDescent="0.3">
      <c r="A59" s="21" t="s">
        <v>62</v>
      </c>
      <c r="B59" s="21">
        <v>72000</v>
      </c>
      <c r="C59" s="1"/>
    </row>
    <row r="60" spans="1:7" x14ac:dyDescent="0.3">
      <c r="A60" s="21" t="s">
        <v>63</v>
      </c>
      <c r="B60" s="21">
        <v>62000</v>
      </c>
      <c r="C60" s="1"/>
    </row>
    <row r="61" spans="1:7" x14ac:dyDescent="0.3">
      <c r="A61" s="21" t="s">
        <v>31</v>
      </c>
      <c r="B61" s="21">
        <v>41000</v>
      </c>
      <c r="C61" s="1"/>
    </row>
    <row r="63" spans="1:7" x14ac:dyDescent="0.3">
      <c r="A63" s="17" t="s">
        <v>64</v>
      </c>
      <c r="B63" s="17"/>
      <c r="C63" s="17"/>
      <c r="D63" s="17"/>
      <c r="E63" s="17"/>
    </row>
    <row r="65" spans="1:9" x14ac:dyDescent="0.3">
      <c r="A65" s="20" t="s">
        <v>29</v>
      </c>
      <c r="B65" s="20" t="s">
        <v>37</v>
      </c>
      <c r="C65" s="2" t="s">
        <v>41</v>
      </c>
      <c r="D65" s="2" t="s">
        <v>37</v>
      </c>
    </row>
    <row r="66" spans="1:9" x14ac:dyDescent="0.3">
      <c r="A66" s="21" t="s">
        <v>30</v>
      </c>
      <c r="B66" s="21" t="s">
        <v>39</v>
      </c>
      <c r="C66" s="1" t="s">
        <v>66</v>
      </c>
      <c r="D66" s="1" t="str">
        <f>_xlfn.XLOOKUP(C66,A66:A69,B66:B69,"unavailable",,1)</f>
        <v>IT</v>
      </c>
      <c r="E66" s="15" t="s">
        <v>76</v>
      </c>
      <c r="F66" s="16"/>
      <c r="G66" s="16"/>
      <c r="H66" s="16"/>
      <c r="I66" s="16"/>
    </row>
    <row r="67" spans="1:9" x14ac:dyDescent="0.3">
      <c r="A67" s="21" t="s">
        <v>66</v>
      </c>
      <c r="B67" s="21" t="s">
        <v>38</v>
      </c>
      <c r="C67" s="1"/>
      <c r="D67" s="1"/>
    </row>
    <row r="68" spans="1:9" x14ac:dyDescent="0.3">
      <c r="A68" s="21" t="s">
        <v>63</v>
      </c>
      <c r="B68" s="21" t="s">
        <v>65</v>
      </c>
      <c r="C68" s="1"/>
      <c r="D68" s="1"/>
    </row>
    <row r="69" spans="1:9" x14ac:dyDescent="0.3">
      <c r="A69" s="21" t="s">
        <v>67</v>
      </c>
      <c r="B69" s="21" t="s">
        <v>68</v>
      </c>
      <c r="C69" s="1"/>
      <c r="D69" s="1"/>
    </row>
  </sheetData>
  <mergeCells count="17">
    <mergeCell ref="A36:D36"/>
    <mergeCell ref="A27:F27"/>
    <mergeCell ref="A17:F17"/>
    <mergeCell ref="E40:J40"/>
    <mergeCell ref="E41:O41"/>
    <mergeCell ref="E48:H48"/>
    <mergeCell ref="D58:G58"/>
    <mergeCell ref="A34:E34"/>
    <mergeCell ref="A1:J1"/>
    <mergeCell ref="D3:G3"/>
    <mergeCell ref="A9:M9"/>
    <mergeCell ref="A18:G18"/>
    <mergeCell ref="A63:E63"/>
    <mergeCell ref="A45:F45"/>
    <mergeCell ref="A52:D52"/>
    <mergeCell ref="A53:B53"/>
    <mergeCell ref="A55:D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ASSIGNMENT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Shivangi kumari</dc:creator>
  <cp:lastModifiedBy>Shivangi kumari</cp:lastModifiedBy>
  <dcterms:created xsi:type="dcterms:W3CDTF">2025-11-01T12:35:51Z</dcterms:created>
  <dcterms:modified xsi:type="dcterms:W3CDTF">2025-11-02T02:11:11Z</dcterms:modified>
</cp:coreProperties>
</file>